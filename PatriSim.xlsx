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C35C698F-1D40-421C-AFCC-501159A87D5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atriSim" sheetId="1" r:id="rId1"/>
    <sheet name="Planilha1" sheetId="2" r:id="rId2"/>
  </sheets>
  <definedNames>
    <definedName name="aporte">PatriSim!$D$16:$D$16</definedName>
    <definedName name="dividendo">PatriSim!$D$20:$D$20</definedName>
    <definedName name="patromonio">PatriSim!$D$19:$D$19</definedName>
    <definedName name="qtd_anos">PatriSim!$D$17:$D$17</definedName>
    <definedName name="rendimento_carteira">PatriSim!$D$12:$D$12</definedName>
    <definedName name="salario">PatriSim!$D$11:$D$11</definedName>
    <definedName name="taxa_rendimento">PatriSim!$D$18:$D$18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B20" i="2"/>
  <c r="B19" i="2"/>
  <c r="B18" i="2"/>
  <c r="B17" i="2"/>
  <c r="B16" i="2"/>
  <c r="B15" i="2"/>
  <c r="B14" i="2"/>
  <c r="B13" i="2"/>
  <c r="B12" i="2"/>
  <c r="B11" i="2"/>
  <c r="B10" i="2"/>
  <c r="B9" i="2"/>
  <c r="B7" i="2"/>
  <c r="B8" i="2"/>
  <c r="B4" i="2"/>
  <c r="B5" i="2"/>
  <c r="B6" i="2"/>
  <c r="B3" i="2"/>
  <c r="D33" i="1"/>
  <c r="C24" i="1" a="1"/>
  <c r="C24" i="1"/>
  <c r="C25" i="1" a="1"/>
  <c r="C25" i="1"/>
  <c r="C26" i="1" a="1"/>
  <c r="C26" i="1"/>
  <c r="C27" i="1" a="1"/>
  <c r="C27" i="1"/>
  <c r="C23" i="1" a="1"/>
  <c r="C23" i="1"/>
  <c r="D19" i="1" a="1"/>
  <c r="D19" i="1"/>
  <c r="D20" i="1" s="1" a="1"/>
  <c r="D20" i="1" s="1"/>
  <c r="D24" i="1" a="1"/>
  <c r="D24" i="1"/>
  <c r="D25" i="1" a="1"/>
  <c r="D25" i="1"/>
  <c r="D26" i="1" a="1"/>
  <c r="D26" i="1"/>
  <c r="D27" i="1" a="1"/>
  <c r="D27" i="1"/>
  <c r="D23" i="1" a="1"/>
  <c r="D23" i="1"/>
  <c r="D13" i="1"/>
  <c r="C34" i="1" l="1"/>
  <c r="D34" i="1" s="1"/>
  <c r="C35" i="1"/>
  <c r="D35" i="1" s="1"/>
  <c r="C36" i="1"/>
  <c r="D36" i="1" s="1"/>
  <c r="C37" i="1"/>
  <c r="D37" i="1" s="1"/>
  <c r="C38" i="1"/>
  <c r="D38" i="1" s="1"/>
  <c r="D3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<sst xmlns="http://schemas.openxmlformats.org/spreadsheetml/2006/main" count="70" uniqueCount="35">
  <si>
    <t>Configurações</t>
  </si>
  <si>
    <t>Salário</t>
  </si>
  <si>
    <t>Rendimento Carteira</t>
  </si>
  <si>
    <t>Sugestão de investimento</t>
  </si>
  <si>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</si>
  <si>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</si>
  <si>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</si>
  <si>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</si>
  <si>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</si>
  <si>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</si>
  <si>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</si>
  <si>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</si>
  <si>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</si>
  <si>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</si>
  <si>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</si>
  <si>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</si>
  <si>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</si>
  <si>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</si>
  <si>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</si>
  <si>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</si>
  <si>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</si>
  <si>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</si>
  <si>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</si>
  <si>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</si>
  <si>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</si>
  <si>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</si>
  <si>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</si>
  <si>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</si>
  <si>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</si>
  <si>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</si>
  <si>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Chave</t>
  </si>
  <si>
    <t>Tipo FII</t>
  </si>
  <si>
    <t>%</t>
  </si>
  <si>
    <t>Agressivo</t>
  </si>
  <si>
    <t>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</si>
</sst>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6">
    <font>
      <sz val="11"/>
      <color theme="1"/>
      <name val="Calibri"/>
      <family val="2"/>
      <scheme val="minor"/>
    </font>
    <font>
      <b/>
      <sz val="20"/>
      <color rgb="FFFFFFFF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C9048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41F4F"/>
        <bgColor indexed="64"/>
      </patternFill>
    </fill>
    <fill>
      <patternFill patternType="solid">
        <fgColor rgb="FFFFE27B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 style="medium">
        <color rgb="FF000000"/>
      </right>
      <top/>
      <bottom style="thin">
        <color theme="6"/>
      </bottom>
      <diagonal/>
    </border>
    <border>
      <left style="medium">
        <color rgb="FF000000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rgb="FF000000"/>
      </right>
      <top style="thin">
        <color theme="6"/>
      </top>
      <bottom style="thin">
        <color theme="6"/>
      </bottom>
      <diagonal/>
    </border>
    <border>
      <left style="medium">
        <color rgb="FF000000"/>
      </left>
      <right style="thin">
        <color theme="6"/>
      </right>
      <top style="thin">
        <color theme="6"/>
      </top>
      <bottom style="medium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rgb="FF000000"/>
      </bottom>
      <diagonal/>
    </border>
    <border>
      <left style="thin">
        <color theme="6"/>
      </left>
      <right style="medium">
        <color rgb="FF000000"/>
      </right>
      <top style="thin">
        <color theme="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 applyFill="1"/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6" xfId="0" applyNumberFormat="1" applyBorder="1"/>
    <xf numFmtId="9" fontId="0" fillId="0" borderId="9" xfId="0" applyNumberFormat="1" applyBorder="1"/>
    <xf numFmtId="0" fontId="0" fillId="0" borderId="9" xfId="0" applyBorder="1"/>
    <xf numFmtId="10" fontId="0" fillId="0" borderId="9" xfId="0" applyNumberFormat="1" applyBorder="1"/>
    <xf numFmtId="8" fontId="0" fillId="3" borderId="9" xfId="0" applyNumberFormat="1" applyFill="1" applyBorder="1"/>
    <xf numFmtId="8" fontId="0" fillId="3" borderId="12" xfId="0" applyNumberFormat="1" applyFill="1" applyBorder="1"/>
    <xf numFmtId="8" fontId="0" fillId="3" borderId="5" xfId="0" applyNumberFormat="1" applyFill="1" applyBorder="1"/>
    <xf numFmtId="8" fontId="0" fillId="3" borderId="6" xfId="0" applyNumberFormat="1" applyFill="1" applyBorder="1"/>
    <xf numFmtId="8" fontId="0" fillId="3" borderId="8" xfId="0" applyNumberFormat="1" applyFill="1" applyBorder="1"/>
    <xf numFmtId="8" fontId="0" fillId="3" borderId="11" xfId="0" applyNumberFormat="1" applyFill="1" applyBorder="1"/>
    <xf numFmtId="164" fontId="0" fillId="3" borderId="12" xfId="0" applyNumberFormat="1" applyFill="1" applyBorder="1"/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horizontal="center"/>
    </xf>
    <xf numFmtId="0" fontId="2" fillId="6" borderId="0" xfId="0" applyFont="1" applyFill="1"/>
    <xf numFmtId="164" fontId="2" fillId="6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164" fontId="2" fillId="7" borderId="0" xfId="0" applyNumberFormat="1" applyFont="1" applyFill="1"/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8" borderId="0" xfId="0" applyFont="1" applyFill="1" applyAlignment="1">
      <alignment horizontal="center"/>
    </xf>
    <xf numFmtId="0" fontId="0" fillId="0" borderId="0" xfId="0" applyBorder="1"/>
    <xf numFmtId="9" fontId="0" fillId="0" borderId="0" xfId="0" applyNumberFormat="1" applyBorder="1" applyAlignment="1">
      <alignment horizontal="center"/>
    </xf>
    <xf numFmtId="0" fontId="0" fillId="0" borderId="13" xfId="0" applyBorder="1"/>
    <xf numFmtId="9" fontId="0" fillId="0" borderId="13" xfId="0" applyNumberFormat="1" applyBorder="1" applyAlignment="1">
      <alignment horizontal="center"/>
    </xf>
    <xf numFmtId="0" fontId="5" fillId="0" borderId="0" xfId="0" applyFont="1"/>
    <xf numFmtId="0" fontId="0" fillId="3" borderId="4" xfId="0" applyFill="1" applyBorder="1" applyAlignment="1">
      <alignment horizontal="left" indent="1"/>
    </xf>
    <xf numFmtId="0" fontId="0" fillId="3" borderId="7" xfId="0" applyFill="1" applyBorder="1" applyAlignment="1">
      <alignment horizontal="left" indent="1"/>
    </xf>
    <xf numFmtId="0" fontId="0" fillId="3" borderId="10" xfId="0" applyFill="1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0" fillId="3" borderId="7" xfId="0" applyFill="1" applyBorder="1" applyAlignment="1">
      <alignment horizontal="left" indent="1"/>
    </xf>
    <xf numFmtId="0" fontId="0" fillId="3" borderId="8" xfId="0" applyFill="1" applyBorder="1" applyAlignment="1">
      <alignment horizontal="left" indent="1"/>
    </xf>
    <xf numFmtId="0" fontId="0" fillId="3" borderId="10" xfId="0" applyFill="1" applyBorder="1" applyAlignment="1">
      <alignment horizontal="left" indent="1"/>
    </xf>
    <xf numFmtId="0" fontId="0" fillId="3" borderId="11" xfId="0" applyFill="1" applyBorder="1" applyAlignment="1">
      <alignment horizontal="left" indent="1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 indent="1"/>
    </xf>
    <xf numFmtId="0" fontId="2" fillId="3" borderId="8" xfId="0" applyFont="1" applyFill="1" applyBorder="1" applyAlignment="1">
      <alignment horizontal="left" indent="1"/>
    </xf>
    <xf numFmtId="0" fontId="2" fillId="3" borderId="10" xfId="0" applyFont="1" applyFill="1" applyBorder="1" applyAlignment="1">
      <alignment horizontal="left" indent="1"/>
    </xf>
    <xf numFmtId="0" fontId="2" fillId="3" borderId="11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7E6E6"/>
      <color rgb="FFFFE27B"/>
      <color rgb="FFE41F4F"/>
      <color rgb="FFC9048B"/>
      <color rgb="FFD13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4</xdr:col>
      <xdr:colOff>561975</xdr:colOff>
      <xdr:row>8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9B7780-CE31-8078-8B17-6BCAF73B5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4572000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G39"/>
  <sheetViews>
    <sheetView showGridLines="0" showRowColHeaders="0" tabSelected="1" workbookViewId="0">
      <selection activeCell="C29" sqref="C29"/>
    </sheetView>
  </sheetViews>
  <sheetFormatPr defaultColWidth="0" defaultRowHeight="15"/>
  <cols>
    <col min="1" max="1" width="4.42578125" customWidth="1"/>
    <col min="2" max="2" width="29.140625" customWidth="1"/>
    <col min="3" max="3" width="18.5703125" bestFit="1" customWidth="1"/>
    <col min="4" max="4" width="12.28515625" bestFit="1" customWidth="1"/>
    <col min="5" max="5" width="8.7109375" customWidth="1"/>
    <col min="6" max="6" width="1.7109375" customWidth="1"/>
    <col min="7" max="7" width="2.85546875" customWidth="1"/>
  </cols>
  <sheetData>
    <row r="10" spans="2:4">
      <c r="B10" s="42" t="s">
        <v>0</v>
      </c>
      <c r="C10" s="43"/>
      <c r="D10" s="44"/>
    </row>
    <row r="11" spans="2:4">
      <c r="B11" s="36" t="s">
        <v>1</v>
      </c>
      <c r="C11" s="37"/>
      <c r="D11" s="4">
        <v>5000</v>
      </c>
    </row>
    <row r="12" spans="2:4">
      <c r="B12" s="38" t="s">
        <v>2</v>
      </c>
      <c r="C12" s="39"/>
      <c r="D12" s="5">
        <v>0.01</v>
      </c>
    </row>
    <row r="13" spans="2:4">
      <c r="B13" s="40" t="s">
        <v>3</v>
      </c>
      <c r="C13" s="41"/>
      <c r="D13" s="14">
        <f>D11*30%</f>
        <v>1500</v>
      </c>
    </row>
    <row r="15" spans="2:4" ht="26.25">
      <c r="B15" s="34" t="s">
        <v>4</v>
      </c>
      <c r="C15" s="35"/>
      <c r="D15" s="45"/>
    </row>
    <row r="16" spans="2:4">
      <c r="B16" s="36" t="s">
        <v>5</v>
      </c>
      <c r="C16" s="37"/>
      <c r="D16" s="4">
        <v>500</v>
      </c>
    </row>
    <row r="17" spans="1:7">
      <c r="B17" s="38" t="s">
        <v>6</v>
      </c>
      <c r="C17" s="39"/>
      <c r="D17" s="6">
        <v>5</v>
      </c>
    </row>
    <row r="18" spans="1:7">
      <c r="B18" s="38" t="s">
        <v>7</v>
      </c>
      <c r="C18" s="39"/>
      <c r="D18" s="7">
        <v>1.0789999999999999E-2</v>
      </c>
    </row>
    <row r="19" spans="1:7">
      <c r="A19" s="1">
        <v>2</v>
      </c>
      <c r="B19" s="46" t="s">
        <v>8</v>
      </c>
      <c r="C19" s="47"/>
      <c r="D19" s="8" cm="1">
        <f t="array" ref="D19">FV(taxa_rendimento,qtd_anos*12,aporte*-1)</f>
        <v>41888.456999243819</v>
      </c>
      <c r="G19" s="1">
        <v>2</v>
      </c>
    </row>
    <row r="20" spans="1:7">
      <c r="A20" s="1">
        <v>5</v>
      </c>
      <c r="B20" s="48" t="s">
        <v>9</v>
      </c>
      <c r="C20" s="49"/>
      <c r="D20" s="9" cm="1">
        <f t="array" ref="D20">patromonio*rendimento_carteira</f>
        <v>418.88456999243817</v>
      </c>
      <c r="G20" s="1">
        <v>5</v>
      </c>
    </row>
    <row r="21" spans="1:7">
      <c r="A21" s="1">
        <v>10</v>
      </c>
      <c r="G21" s="1">
        <v>10</v>
      </c>
    </row>
    <row r="22" spans="1:7" ht="26.25">
      <c r="A22" s="1">
        <v>20</v>
      </c>
      <c r="B22" s="34" t="s">
        <v>10</v>
      </c>
      <c r="C22" s="35"/>
      <c r="D22" s="2" t="s">
        <v>11</v>
      </c>
      <c r="G22" s="1">
        <v>20</v>
      </c>
    </row>
    <row r="23" spans="1:7">
      <c r="A23" s="1">
        <v>30</v>
      </c>
      <c r="B23" s="31" t="s">
        <v>12</v>
      </c>
      <c r="C23" s="10" cm="1">
        <f t="array" ref="C23">FV(taxa_rendimento,$A19*12,aporte*-1)</f>
        <v>13613.813648822608</v>
      </c>
      <c r="D23" s="11" cm="1">
        <f t="array" ref="D23">$C23*rendimento_carteira</f>
        <v>136.13813648822608</v>
      </c>
      <c r="G23" s="1">
        <v>30</v>
      </c>
    </row>
    <row r="24" spans="1:7">
      <c r="B24" s="32" t="s">
        <v>13</v>
      </c>
      <c r="C24" s="12" cm="1">
        <f t="array" ref="C24">FV(taxa_rendimento,$A20*12,aporte*-1)</f>
        <v>41888.456999243819</v>
      </c>
      <c r="D24" s="8" cm="1">
        <f t="array" ref="D24">$C24*rendimento_carteira</f>
        <v>418.88456999243817</v>
      </c>
    </row>
    <row r="25" spans="1:7">
      <c r="B25" s="32" t="s">
        <v>14</v>
      </c>
      <c r="C25" s="12" cm="1">
        <f t="array" ref="C25">FV(taxa_rendimento,$A21*12,aporte*-1)</f>
        <v>121642.1062650861</v>
      </c>
      <c r="D25" s="8" cm="1">
        <f t="array" ref="D25">$C25*rendimento_carteira</f>
        <v>1216.4210626508609</v>
      </c>
    </row>
    <row r="26" spans="1:7">
      <c r="B26" s="32" t="s">
        <v>15</v>
      </c>
      <c r="C26" s="12" cm="1">
        <f t="array" ref="C26">FV(taxa_rendimento,$A22*12,aporte*-1)</f>
        <v>562599.20004854025</v>
      </c>
      <c r="D26" s="8" cm="1">
        <f t="array" ref="D26">$C26*rendimento_carteira</f>
        <v>5625.992000485403</v>
      </c>
    </row>
    <row r="27" spans="1:7">
      <c r="B27" s="33" t="s">
        <v>16</v>
      </c>
      <c r="C27" s="13" cm="1">
        <f t="array" ref="C27">FV(taxa_rendimento,$A23*12,aporte*-1)</f>
        <v>2161084.8275023573</v>
      </c>
      <c r="D27" s="9" cm="1">
        <f t="array" ref="D27">$C27*rendimento_carteira</f>
        <v>21610.848275023574</v>
      </c>
    </row>
    <row r="29" spans="1:7">
      <c r="B29" s="15" t="s">
        <v>17</v>
      </c>
      <c r="C29" s="17" t="s">
        <v>18</v>
      </c>
      <c r="D29" s="15"/>
    </row>
    <row r="30" spans="1:7">
      <c r="B30" s="18" t="s">
        <v>19</v>
      </c>
      <c r="C30" s="19">
        <v>500</v>
      </c>
      <c r="D30" s="16"/>
    </row>
    <row r="32" spans="1:7">
      <c r="B32" s="20" t="s">
        <v>20</v>
      </c>
      <c r="C32" s="20" t="s">
        <v>21</v>
      </c>
      <c r="D32" s="20" t="s">
        <v>22</v>
      </c>
    </row>
    <row r="33" spans="2:4">
      <c r="B33" s="3" t="s">
        <v>23</v>
      </c>
      <c r="C33" s="23">
        <f>VLOOKUP($C$29&amp;"-"&amp;B33,Planilha1!B2:E20,4,FALSE)</f>
        <v>0.32</v>
      </c>
      <c r="D33" s="24">
        <f>C33*$C$30</f>
        <v>160</v>
      </c>
    </row>
    <row r="34" spans="2:4">
      <c r="B34" s="3" t="s">
        <v>24</v>
      </c>
      <c r="C34" s="23">
        <f>VLOOKUP($C$29&amp;"-"&amp;B34,Planilha1!B3:E21,4,FALSE)</f>
        <v>0.35</v>
      </c>
      <c r="D34" s="24">
        <f t="shared" ref="D34:D38" si="0">C34*$C$30</f>
        <v>175</v>
      </c>
    </row>
    <row r="35" spans="2:4">
      <c r="B35" s="3" t="s">
        <v>25</v>
      </c>
      <c r="C35" s="23">
        <f>VLOOKUP($C$29&amp;"-"&amp;B35,Planilha1!B4:E22,4,FALSE)</f>
        <v>0.08</v>
      </c>
      <c r="D35" s="24">
        <f t="shared" si="0"/>
        <v>40</v>
      </c>
    </row>
    <row r="36" spans="2:4">
      <c r="B36" s="3" t="s">
        <v>26</v>
      </c>
      <c r="C36" s="23">
        <f>VLOOKUP($C$29&amp;"-"&amp;B36,Planilha1!B5:E23,4,FALSE)</f>
        <v>0.05</v>
      </c>
      <c r="D36" s="24">
        <f t="shared" si="0"/>
        <v>25</v>
      </c>
    </row>
    <row r="37" spans="2:4">
      <c r="B37" s="3" t="s">
        <v>27</v>
      </c>
      <c r="C37" s="23">
        <f>VLOOKUP($C$29&amp;"-"&amp;B37,Planilha1!B6:E24,4,FALSE)</f>
        <v>0.1</v>
      </c>
      <c r="D37" s="24">
        <f t="shared" si="0"/>
        <v>50</v>
      </c>
    </row>
    <row r="38" spans="2:4">
      <c r="B38" s="3" t="s">
        <v>28</v>
      </c>
      <c r="C38" s="23">
        <f>VLOOKUP($C$29&amp;"-"&amp;B38,Planilha1!B7:E25,4,FALSE)</f>
        <v>0.1</v>
      </c>
      <c r="D38" s="24">
        <f t="shared" si="0"/>
        <v>50</v>
      </c>
    </row>
    <row r="39" spans="2:4">
      <c r="B39" s="21" t="s">
        <v>29</v>
      </c>
      <c r="C39" s="21"/>
      <c r="D39" s="22">
        <f>SUM(D33:D38)</f>
        <v>500</v>
      </c>
    </row>
  </sheetData>
  <sheetProtection sheet="1" objects="1" scenarios="1"/>
  <protectedRanges>
    <protectedRange sqref="D11:D12 D16:D18 C29" name="Range1"/>
  </protectedRanges>
  <mergeCells count="11">
    <mergeCell ref="B22:C22"/>
    <mergeCell ref="B11:C11"/>
    <mergeCell ref="B12:C12"/>
    <mergeCell ref="B13:C13"/>
    <mergeCell ref="B10:D10"/>
    <mergeCell ref="B15:D15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C29" xr:uid="{DC9E6CB6-EB3D-4FB3-865F-9F3F2810B2D2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971A-99B2-4073-9D74-AED4B484B7CF}">
  <dimension ref="B2:J20"/>
  <sheetViews>
    <sheetView workbookViewId="0">
      <selection activeCell="E13" sqref="E13"/>
    </sheetView>
  </sheetViews>
  <sheetFormatPr defaultRowHeight="15"/>
  <cols>
    <col min="2" max="2" width="27.7109375" bestFit="1" customWidth="1"/>
    <col min="3" max="3" width="11.85546875" bestFit="1" customWidth="1"/>
    <col min="4" max="4" width="16.140625" bestFit="1" customWidth="1"/>
    <col min="5" max="5" width="6.5703125" customWidth="1"/>
  </cols>
  <sheetData>
    <row r="2" spans="2:10">
      <c r="B2" s="25" t="s">
        <v>30</v>
      </c>
      <c r="C2" s="25" t="s">
        <v>17</v>
      </c>
      <c r="D2" s="25" t="s">
        <v>31</v>
      </c>
      <c r="E2" s="25" t="s">
        <v>32</v>
      </c>
    </row>
    <row r="3" spans="2:10">
      <c r="B3" t="str">
        <f>C3&amp;"-"&amp;D3</f>
        <v>Agressivo-Papel</v>
      </c>
      <c r="C3" t="s">
        <v>33</v>
      </c>
      <c r="D3" s="23" t="s">
        <v>23</v>
      </c>
      <c r="E3" s="23">
        <v>0.3</v>
      </c>
    </row>
    <row r="4" spans="2:10">
      <c r="B4" t="str">
        <f t="shared" ref="B4:B8" si="0">C4&amp;"-"&amp;D4</f>
        <v>Agressivo-Tijolo</v>
      </c>
      <c r="C4" t="s">
        <v>33</v>
      </c>
      <c r="D4" s="23" t="s">
        <v>24</v>
      </c>
      <c r="E4" s="23">
        <v>0.5</v>
      </c>
    </row>
    <row r="5" spans="2:10">
      <c r="B5" t="str">
        <f t="shared" si="0"/>
        <v>Agressivo-Híbridos</v>
      </c>
      <c r="C5" t="s">
        <v>33</v>
      </c>
      <c r="D5" s="23" t="s">
        <v>25</v>
      </c>
      <c r="E5" s="23">
        <v>0.1</v>
      </c>
    </row>
    <row r="6" spans="2:10">
      <c r="B6" t="str">
        <f t="shared" si="0"/>
        <v>Agressivo-FOFs</v>
      </c>
      <c r="C6" t="s">
        <v>33</v>
      </c>
      <c r="D6" s="23" t="s">
        <v>26</v>
      </c>
      <c r="E6" s="23">
        <v>0.1</v>
      </c>
    </row>
    <row r="7" spans="2:10">
      <c r="B7" s="26" t="str">
        <f>C7&amp;"-"&amp;D7</f>
        <v>Agressivo-Desenvolvimento</v>
      </c>
      <c r="C7" s="26" t="s">
        <v>33</v>
      </c>
      <c r="D7" s="27" t="s">
        <v>27</v>
      </c>
      <c r="E7" s="27">
        <v>0</v>
      </c>
    </row>
    <row r="8" spans="2:10">
      <c r="B8" s="28" t="str">
        <f>C8&amp;"-"&amp;D8</f>
        <v>Agressivo-Hotelarias</v>
      </c>
      <c r="C8" s="28" t="s">
        <v>33</v>
      </c>
      <c r="D8" s="29" t="s">
        <v>28</v>
      </c>
      <c r="E8" s="29">
        <v>0</v>
      </c>
    </row>
    <row r="9" spans="2:10">
      <c r="B9" t="str">
        <f>C9&amp;"-"&amp;D9</f>
        <v>Moderado-Papel</v>
      </c>
      <c r="C9" t="s">
        <v>18</v>
      </c>
      <c r="D9" s="23" t="s">
        <v>23</v>
      </c>
      <c r="E9" s="23">
        <v>0.32</v>
      </c>
      <c r="I9" s="26"/>
    </row>
    <row r="10" spans="2:10">
      <c r="B10" t="str">
        <f t="shared" ref="B10:B12" si="1">C10&amp;"-"&amp;D10</f>
        <v>Moderado-Tijolo</v>
      </c>
      <c r="C10" s="30" t="s">
        <v>18</v>
      </c>
      <c r="D10" s="23" t="s">
        <v>24</v>
      </c>
      <c r="E10" s="23">
        <v>0.35</v>
      </c>
      <c r="I10" s="26"/>
    </row>
    <row r="11" spans="2:10">
      <c r="B11" t="str">
        <f t="shared" si="1"/>
        <v>Moderado-Híbridos</v>
      </c>
      <c r="C11" t="s">
        <v>18</v>
      </c>
      <c r="D11" s="23" t="s">
        <v>25</v>
      </c>
      <c r="E11" s="23">
        <v>0.08</v>
      </c>
      <c r="H11" s="26"/>
    </row>
    <row r="12" spans="2:10">
      <c r="B12" t="str">
        <f t="shared" si="1"/>
        <v>Moderado-FOFs</v>
      </c>
      <c r="C12" t="s">
        <v>18</v>
      </c>
      <c r="D12" s="23" t="s">
        <v>26</v>
      </c>
      <c r="E12" s="23">
        <v>0.05</v>
      </c>
      <c r="F12" s="26"/>
      <c r="G12" s="26"/>
      <c r="H12" s="26"/>
      <c r="I12" s="26"/>
      <c r="J12" s="26"/>
    </row>
    <row r="13" spans="2:10">
      <c r="B13" s="26" t="str">
        <f>C13&amp;"-"&amp;D13</f>
        <v>Moderado-Desenvolvimento</v>
      </c>
      <c r="C13" s="26" t="s">
        <v>18</v>
      </c>
      <c r="D13" s="27" t="s">
        <v>27</v>
      </c>
      <c r="E13" s="27">
        <v>0.1</v>
      </c>
      <c r="F13" s="26"/>
      <c r="G13" s="26"/>
      <c r="H13" s="26"/>
      <c r="I13" s="26"/>
      <c r="J13" s="26"/>
    </row>
    <row r="14" spans="2:10">
      <c r="B14" s="28" t="str">
        <f>C14&amp;"-"&amp;D14</f>
        <v>Moderado-Hotelarias</v>
      </c>
      <c r="C14" s="28" t="s">
        <v>18</v>
      </c>
      <c r="D14" s="29" t="s">
        <v>28</v>
      </c>
      <c r="E14" s="29">
        <v>0.1</v>
      </c>
      <c r="F14" s="26"/>
      <c r="G14" s="26"/>
      <c r="H14" s="26"/>
      <c r="I14" s="26"/>
      <c r="J14" s="26"/>
    </row>
    <row r="15" spans="2:10">
      <c r="B15" t="str">
        <f>C15&amp;"-"&amp;D15</f>
        <v>Conservador-Papel</v>
      </c>
      <c r="C15" t="s">
        <v>34</v>
      </c>
      <c r="D15" s="23" t="s">
        <v>23</v>
      </c>
      <c r="E15" s="23">
        <v>0.5</v>
      </c>
      <c r="F15" s="26"/>
      <c r="G15" s="26"/>
      <c r="H15" s="26"/>
      <c r="I15" s="26"/>
      <c r="J15" s="26"/>
    </row>
    <row r="16" spans="2:10">
      <c r="B16" t="str">
        <f t="shared" ref="B16:B18" si="2">C16&amp;"-"&amp;D16</f>
        <v>Conservador-Tijolo</v>
      </c>
      <c r="C16" t="s">
        <v>34</v>
      </c>
      <c r="D16" s="23" t="s">
        <v>24</v>
      </c>
      <c r="E16" s="23">
        <v>0.1</v>
      </c>
    </row>
    <row r="17" spans="2:5">
      <c r="B17" t="str">
        <f t="shared" si="2"/>
        <v>Conservador-Híbridos</v>
      </c>
      <c r="C17" t="s">
        <v>34</v>
      </c>
      <c r="D17" s="23" t="s">
        <v>25</v>
      </c>
      <c r="E17" s="23">
        <v>0.05</v>
      </c>
    </row>
    <row r="18" spans="2:5">
      <c r="B18" t="str">
        <f t="shared" si="2"/>
        <v>Conservador-FOFs</v>
      </c>
      <c r="C18" t="s">
        <v>34</v>
      </c>
      <c r="D18" s="23" t="s">
        <v>26</v>
      </c>
      <c r="E18" s="23">
        <v>0.05</v>
      </c>
    </row>
    <row r="19" spans="2:5">
      <c r="B19" s="26" t="str">
        <f>C19&amp;"-"&amp;D19</f>
        <v>Conservador-Desenvolvimento</v>
      </c>
      <c r="C19" s="26" t="s">
        <v>34</v>
      </c>
      <c r="D19" s="27" t="s">
        <v>27</v>
      </c>
      <c r="E19" s="27">
        <v>0.2</v>
      </c>
    </row>
    <row r="20" spans="2:5">
      <c r="B20" s="28" t="str">
        <f>C20&amp;"-"&amp;D20</f>
        <v>Conservador-Hotelarias</v>
      </c>
      <c r="C20" s="28" t="s">
        <v>34</v>
      </c>
      <c r="D20" s="29" t="s">
        <v>28</v>
      </c>
      <c r="E20" s="29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2026-01-06T21:40:30Z</dcterms:created>
  <dcterms:modified xsi:type="dcterms:W3CDTF">2026-01-07T04:25:21Z</dcterms:modified>
  <cp:category/>
  <cp:contentStatus/>
</cp:coreProperties>
</file>